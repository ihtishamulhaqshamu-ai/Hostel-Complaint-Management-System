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60c844fd35ee50/Desktop/"/>
    </mc:Choice>
  </mc:AlternateContent>
  <xr:revisionPtr revIDLastSave="164" documentId="8_{0B77DD66-5CD5-4948-BBE4-CA01A93E8DE9}" xr6:coauthVersionLast="47" xr6:coauthVersionMax="47" xr10:uidLastSave="{B82CCB8E-52FC-4AB8-87FD-33DCB62F1F00}"/>
  <bookViews>
    <workbookView xWindow="-120" yWindow="-120" windowWidth="20730" windowHeight="11160" activeTab="1" xr2:uid="{03742AA0-7EB5-452B-BE2A-0F8B82409FC9}"/>
  </bookViews>
  <sheets>
    <sheet name="Complaint Data" sheetId="1" r:id="rId1"/>
    <sheet name="Summary" sheetId="2" r:id="rId2"/>
  </sheets>
  <definedNames>
    <definedName name="_xlnm._FilterDatabase" localSheetId="0" hidden="1">'Complaint Data'!$A$1:$I$1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2" i="2"/>
  <c r="B4" i="2"/>
  <c r="B3" i="2"/>
</calcChain>
</file>

<file path=xl/sharedStrings.xml><?xml version="1.0" encoding="utf-8"?>
<sst xmlns="http://schemas.openxmlformats.org/spreadsheetml/2006/main" count="85" uniqueCount="62">
  <si>
    <t>Complaint ID</t>
  </si>
  <si>
    <t>Std-Name</t>
  </si>
  <si>
    <t>Reg-No</t>
  </si>
  <si>
    <t>Room-No</t>
  </si>
  <si>
    <t>Compalint Type</t>
  </si>
  <si>
    <t>Complaint Description</t>
  </si>
  <si>
    <t xml:space="preserve">Date Submitted </t>
  </si>
  <si>
    <t>Status</t>
  </si>
  <si>
    <t>Data Resolved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</si>
  <si>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</si>
  <si>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</si>
  <si>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</si>
  <si>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</si>
  <si>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</si>
  <si>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</si>
  <si>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</si>
  <si>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</si>
  <si>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</si>
  <si>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</si>
  <si>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Ahmad</t>
  </si>
  <si>
    <t>Ali</t>
  </si>
  <si>
    <t>Noor</t>
  </si>
  <si>
    <t>khan</t>
  </si>
  <si>
    <t>Abid</t>
  </si>
  <si>
    <t>wali</t>
  </si>
  <si>
    <t>Dadullah</t>
  </si>
  <si>
    <t>Hasib</t>
  </si>
  <si>
    <t>Ayan</t>
  </si>
  <si>
    <t>Adil</t>
  </si>
  <si>
    <t>23AI101</t>
  </si>
  <si>
    <t>23AI115</t>
  </si>
  <si>
    <t>23AI111</t>
  </si>
  <si>
    <t>23AI132</t>
  </si>
  <si>
    <t>23AI544</t>
  </si>
  <si>
    <t>23AI291</t>
  </si>
  <si>
    <t>23AI191</t>
  </si>
  <si>
    <t>23AI211</t>
  </si>
  <si>
    <t>R-12</t>
  </si>
  <si>
    <t>R-14</t>
  </si>
  <si>
    <t>R-16</t>
  </si>
  <si>
    <t>R-17</t>
  </si>
  <si>
    <t>R-18</t>
  </si>
  <si>
    <t>R-21</t>
  </si>
  <si>
    <t>R-25</t>
  </si>
  <si>
    <t>R-8</t>
  </si>
  <si>
    <t>R-22</t>
  </si>
  <si>
    <t>R-32</t>
  </si>
  <si>
    <t xml:space="preserve">Electrical </t>
  </si>
  <si>
    <t>Water</t>
  </si>
  <si>
    <t>Mess</t>
  </si>
  <si>
    <t>Internet</t>
  </si>
  <si>
    <t>Fan not working</t>
  </si>
  <si>
    <t>Leakage in washroom</t>
  </si>
  <si>
    <t>Expire Food</t>
  </si>
  <si>
    <t>Electricity is not regular</t>
  </si>
  <si>
    <t>Wi-Fi is not working</t>
  </si>
  <si>
    <t>Less hot water</t>
  </si>
  <si>
    <t>Bulb are not working</t>
  </si>
  <si>
    <t xml:space="preserve">Pending </t>
  </si>
  <si>
    <t>Resloved</t>
  </si>
  <si>
    <t>Number of Complaints</t>
  </si>
  <si>
    <t>Electrical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</si>
</sst>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14" fontId="0" fillId="0" borderId="1" xfId="0" applyNumberFormat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Complaint Type Distribution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Summary!$B$1</c:f>
              <c:strCache>
                <c:ptCount val="1"/>
                <c:pt idx="0">
                  <c:v>Number of Complaints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Summary!$A$2:$A$5</c:f>
              <c:strCache>
                <c:ptCount val="4"/>
                <c:pt idx="0">
                  <c:v>Electrical </c:v>
                </c:pt>
                <c:pt idx="1">
                  <c:v>Water</c:v>
                </c:pt>
                <c:pt idx="2">
                  <c:v>Mess</c:v>
                </c:pt>
                <c:pt idx="3">
                  <c:v>Internet</c:v>
                </c:pt>
              </c:strCache>
            </c:strRef>
          </c:cat>
          <c:val>
            <c:numRef>
              <c:f>Summary!$B$2:$B$5</c:f>
              <c:numCache>
                <c:formatCode>General</c:formatCode>
                <c:ptCount val="4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59-4D27-AF34-9AA907620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0</xdr:row>
      <xdr:rowOff>23812</xdr:rowOff>
    </xdr:from>
    <xdr:to>
      <xdr:col>10</xdr:col>
      <xdr:colOff>381000</xdr:colOff>
      <xdr:row>14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819D08-24B7-A2C4-95F8-028C01CF91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C3E1E-9EBC-4C69-B1C8-B3DCD8A0E8C0}">
  <dimension ref="A1:I11"/>
  <sheetViews>
    <sheetView workbookViewId="0">
      <selection activeCell="F15" sqref="F15"/>
    </sheetView>
  </sheetViews>
  <sheetFormatPr defaultRowHeight="15" x14ac:dyDescent="0.25"/>
  <cols>
    <col min="1" max="1" width="12.85546875" customWidth="1"/>
    <col min="2" max="2" width="11.140625" customWidth="1"/>
    <col min="3" max="3" width="12.28515625" customWidth="1"/>
    <col min="4" max="4" width="10.140625" customWidth="1"/>
    <col min="5" max="5" width="16.42578125" customWidth="1"/>
    <col min="6" max="6" width="22" customWidth="1"/>
    <col min="7" max="7" width="15" customWidth="1"/>
    <col min="8" max="8" width="14" customWidth="1"/>
    <col min="9" max="9" width="15.2851562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19</v>
      </c>
      <c r="C2" t="s">
        <v>29</v>
      </c>
      <c r="D2" s="1" t="s">
        <v>37</v>
      </c>
      <c r="E2" s="1" t="s">
        <v>61</v>
      </c>
      <c r="F2" s="1" t="s">
        <v>51</v>
      </c>
      <c r="G2" s="4">
        <v>45658</v>
      </c>
      <c r="H2" s="1" t="s">
        <v>58</v>
      </c>
      <c r="I2" s="4"/>
    </row>
    <row r="3" spans="1:9" x14ac:dyDescent="0.25">
      <c r="A3" s="1" t="s">
        <v>10</v>
      </c>
      <c r="B3" s="1" t="s">
        <v>20</v>
      </c>
      <c r="C3" s="3" t="s">
        <v>30</v>
      </c>
      <c r="D3" s="1" t="s">
        <v>40</v>
      </c>
      <c r="E3" s="1" t="s">
        <v>48</v>
      </c>
      <c r="F3" s="1" t="s">
        <v>52</v>
      </c>
      <c r="G3" s="4">
        <v>45779</v>
      </c>
      <c r="H3" s="1" t="s">
        <v>59</v>
      </c>
      <c r="I3" s="4">
        <v>45722</v>
      </c>
    </row>
    <row r="4" spans="1:9" x14ac:dyDescent="0.25">
      <c r="A4" s="1" t="s">
        <v>11</v>
      </c>
      <c r="B4" s="1" t="s">
        <v>21</v>
      </c>
      <c r="C4" t="s">
        <v>31</v>
      </c>
      <c r="D4" s="1" t="s">
        <v>38</v>
      </c>
      <c r="E4" s="1" t="s">
        <v>48</v>
      </c>
      <c r="F4" s="1" t="s">
        <v>52</v>
      </c>
      <c r="G4" s="4">
        <v>45904</v>
      </c>
      <c r="H4" s="1" t="s">
        <v>59</v>
      </c>
      <c r="I4" s="4">
        <v>45788</v>
      </c>
    </row>
    <row r="5" spans="1:9" x14ac:dyDescent="0.25">
      <c r="A5" s="1" t="s">
        <v>12</v>
      </c>
      <c r="B5" s="1" t="s">
        <v>22</v>
      </c>
      <c r="C5" t="s">
        <v>32</v>
      </c>
      <c r="D5" s="1" t="s">
        <v>45</v>
      </c>
      <c r="E5" s="1" t="s">
        <v>49</v>
      </c>
      <c r="F5" s="1" t="s">
        <v>53</v>
      </c>
      <c r="G5" s="4">
        <v>45666</v>
      </c>
      <c r="H5" s="1" t="s">
        <v>58</v>
      </c>
      <c r="I5" s="4"/>
    </row>
    <row r="6" spans="1:9" x14ac:dyDescent="0.25">
      <c r="A6" s="1" t="s">
        <v>13</v>
      </c>
      <c r="B6" s="1" t="s">
        <v>23</v>
      </c>
      <c r="C6" s="3" t="s">
        <v>33</v>
      </c>
      <c r="D6" s="1" t="s">
        <v>46</v>
      </c>
      <c r="E6" s="1" t="s">
        <v>61</v>
      </c>
      <c r="F6" s="1" t="s">
        <v>54</v>
      </c>
      <c r="G6" s="4">
        <v>45664</v>
      </c>
      <c r="H6" s="1" t="s">
        <v>59</v>
      </c>
      <c r="I6" s="4">
        <v>45696</v>
      </c>
    </row>
    <row r="7" spans="1:9" x14ac:dyDescent="0.25">
      <c r="A7" s="1" t="s">
        <v>14</v>
      </c>
      <c r="B7" s="1" t="s">
        <v>24</v>
      </c>
      <c r="C7" s="3" t="s">
        <v>34</v>
      </c>
      <c r="D7" s="1" t="s">
        <v>39</v>
      </c>
      <c r="E7" s="1" t="s">
        <v>50</v>
      </c>
      <c r="F7" s="1" t="s">
        <v>55</v>
      </c>
      <c r="G7" s="4">
        <v>45722</v>
      </c>
      <c r="H7" s="1" t="s">
        <v>59</v>
      </c>
      <c r="I7" s="4">
        <v>45787</v>
      </c>
    </row>
    <row r="8" spans="1:9" x14ac:dyDescent="0.25">
      <c r="A8" s="1" t="s">
        <v>15</v>
      </c>
      <c r="B8" s="1" t="s">
        <v>25</v>
      </c>
      <c r="C8" s="3" t="s">
        <v>35</v>
      </c>
      <c r="D8" s="1" t="s">
        <v>41</v>
      </c>
      <c r="E8" s="1" t="s">
        <v>48</v>
      </c>
      <c r="F8" s="1" t="s">
        <v>52</v>
      </c>
      <c r="G8" s="4">
        <v>45971</v>
      </c>
      <c r="H8" s="1" t="s">
        <v>58</v>
      </c>
      <c r="I8" s="4"/>
    </row>
    <row r="9" spans="1:9" x14ac:dyDescent="0.25">
      <c r="A9" s="1" t="s">
        <v>16</v>
      </c>
      <c r="B9" s="1" t="s">
        <v>26</v>
      </c>
      <c r="C9" s="3" t="s">
        <v>36</v>
      </c>
      <c r="D9" s="1" t="s">
        <v>44</v>
      </c>
      <c r="E9" s="1" t="s">
        <v>48</v>
      </c>
      <c r="F9" s="1" t="s">
        <v>56</v>
      </c>
      <c r="G9" s="4">
        <v>45665</v>
      </c>
      <c r="H9" s="1" t="s">
        <v>59</v>
      </c>
      <c r="I9" s="4">
        <v>45940</v>
      </c>
    </row>
    <row r="10" spans="1:9" x14ac:dyDescent="0.25">
      <c r="A10" s="1" t="s">
        <v>17</v>
      </c>
      <c r="B10" s="1" t="s">
        <v>27</v>
      </c>
      <c r="C10" s="3" t="s">
        <v>30</v>
      </c>
      <c r="D10" s="1" t="s">
        <v>43</v>
      </c>
      <c r="E10" s="1" t="s">
        <v>50</v>
      </c>
      <c r="F10" s="1" t="s">
        <v>55</v>
      </c>
      <c r="G10" s="4">
        <v>45666</v>
      </c>
      <c r="H10" s="1" t="s">
        <v>59</v>
      </c>
      <c r="I10" s="4">
        <v>45970</v>
      </c>
    </row>
    <row r="11" spans="1:9" x14ac:dyDescent="0.25">
      <c r="A11" s="1" t="s">
        <v>18</v>
      </c>
      <c r="B11" s="1" t="s">
        <v>28</v>
      </c>
      <c r="C11" s="3" t="s">
        <v>35</v>
      </c>
      <c r="D11" s="1" t="s">
        <v>42</v>
      </c>
      <c r="E11" s="1" t="s">
        <v>61</v>
      </c>
      <c r="F11" s="1" t="s">
        <v>57</v>
      </c>
      <c r="G11" s="4">
        <v>45667</v>
      </c>
      <c r="H11" s="1" t="s">
        <v>58</v>
      </c>
      <c r="I11" s="1"/>
    </row>
  </sheetData>
  <autoFilter ref="A1:I1" xr:uid="{2FAC3E1E-9EBC-4C69-B1C8-B3DCD8A0E8C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67438-E69B-4C4D-AF4A-67CA6D26D4FE}">
  <dimension ref="A1:B5"/>
  <sheetViews>
    <sheetView tabSelected="1" workbookViewId="0">
      <selection activeCell="M7" sqref="M7"/>
    </sheetView>
  </sheetViews>
  <sheetFormatPr defaultRowHeight="15" x14ac:dyDescent="0.25"/>
  <cols>
    <col min="1" max="1" width="17.7109375" customWidth="1"/>
    <col min="2" max="2" width="22" customWidth="1"/>
  </cols>
  <sheetData>
    <row r="1" spans="1:2" x14ac:dyDescent="0.25">
      <c r="A1" s="5" t="s">
        <v>4</v>
      </c>
      <c r="B1" s="5" t="s">
        <v>60</v>
      </c>
    </row>
    <row r="2" spans="1:2" x14ac:dyDescent="0.25">
      <c r="A2" s="1" t="s">
        <v>47</v>
      </c>
      <c r="B2" s="1">
        <f>COUNTIF('Complaint Data'!E:E,"Electrical")</f>
        <v>3</v>
      </c>
    </row>
    <row r="3" spans="1:2" x14ac:dyDescent="0.25">
      <c r="A3" s="1" t="s">
        <v>48</v>
      </c>
      <c r="B3" s="1">
        <f>COUNTIF('Complaint Data'!E:E,"Water")</f>
        <v>4</v>
      </c>
    </row>
    <row r="4" spans="1:2" x14ac:dyDescent="0.25">
      <c r="A4" s="1" t="s">
        <v>49</v>
      </c>
      <c r="B4" s="1">
        <f>COUNTIF('Complaint Data'!E:E,"Mess")</f>
        <v>1</v>
      </c>
    </row>
    <row r="5" spans="1:2" x14ac:dyDescent="0.25">
      <c r="A5" s="1" t="s">
        <v>50</v>
      </c>
      <c r="B5" s="1">
        <f>COUNTIF('Complaint Data'!E:E,"Internet")</f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Complaint Data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Iftikhar Qasimi</dc:creator>
  <cp:lastModifiedBy>Sayed iftikhar qasimi</cp:lastModifiedBy>
  <dcterms:created xsi:type="dcterms:W3CDTF">2026-01-06T16:20:34Z</dcterms:created>
  <dcterms:modified xsi:type="dcterms:W3CDTF">2026-01-06T17:01:02Z</dcterms:modified>
</cp:coreProperties>
</file>